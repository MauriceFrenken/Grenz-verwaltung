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G:\NL-RESI-INV\2._Objekte\3.1._Objekte\S\Siegesstraße 14_Düppelstraße 39\1._Einwertung\Einwertungen\"/>
    </mc:Choice>
  </mc:AlternateContent>
  <xr:revisionPtr revIDLastSave="0" documentId="13_ncr:1_{536B4B54-A649-40A4-B8DA-49275419A089}" xr6:coauthVersionLast="47" xr6:coauthVersionMax="47" xr10:uidLastSave="{00000000-0000-0000-0000-000000000000}"/>
  <bookViews>
    <workbookView xWindow="5235" yWindow="2865" windowWidth="31425" windowHeight="1783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2" i="1"/>
  <c r="F6" i="1"/>
  <c r="B6" i="1"/>
  <c r="F5" i="1"/>
  <c r="D17" i="1" s="1"/>
  <c r="F4" i="1"/>
  <c r="A21" i="1"/>
  <c r="A20" i="1"/>
  <c r="A19" i="1"/>
  <c r="A18" i="1"/>
  <c r="A17" i="1"/>
  <c r="A16" i="1"/>
  <c r="C20" i="1" l="1"/>
  <c r="B17" i="1"/>
  <c r="B16" i="1"/>
  <c r="E19" i="1"/>
  <c r="E16" i="1"/>
  <c r="B20" i="1"/>
  <c r="B21" i="1"/>
  <c r="B19" i="1"/>
  <c r="B18" i="1"/>
  <c r="E18" i="1"/>
  <c r="B22" i="1"/>
  <c r="E17" i="1"/>
  <c r="B23" i="1"/>
  <c r="C19" i="1"/>
  <c r="E23" i="1"/>
  <c r="C18" i="1"/>
  <c r="E22" i="1"/>
  <c r="C16" i="1"/>
  <c r="C17" i="1"/>
  <c r="E21" i="1"/>
  <c r="C23" i="1"/>
  <c r="C21" i="1"/>
  <c r="G4" i="1"/>
  <c r="D21" i="1"/>
  <c r="E20" i="1"/>
  <c r="C22" i="1"/>
  <c r="G6" i="1"/>
  <c r="D20" i="1"/>
  <c r="G5" i="1"/>
  <c r="D22" i="1"/>
  <c r="D19" i="1"/>
  <c r="D16" i="1"/>
  <c r="D18" i="1"/>
  <c r="D23" i="1"/>
</calcChain>
</file>

<file path=xl/sharedStrings.xml><?xml version="1.0" encoding="utf-8"?>
<sst xmlns="http://schemas.openxmlformats.org/spreadsheetml/2006/main" count="22" uniqueCount="22">
  <si>
    <t>Kaufpreistool</t>
  </si>
  <si>
    <t>Objektadresse</t>
  </si>
  <si>
    <t>JNKM Marktmiete</t>
  </si>
  <si>
    <t>Betrag in EUR</t>
  </si>
  <si>
    <t>Durchschnittsmiete EUR/m2</t>
  </si>
  <si>
    <t>Kaufpreis</t>
  </si>
  <si>
    <t>Faktor SOLL</t>
  </si>
  <si>
    <t>Faktor Marktmiete</t>
  </si>
  <si>
    <t>Auswahl Kaufpreis-Schritte</t>
  </si>
  <si>
    <t>NK-Miete pro Monat IST</t>
  </si>
  <si>
    <t>JNKM IST</t>
  </si>
  <si>
    <t>JNKM SOLL</t>
  </si>
  <si>
    <t>NK-Miete pro Monat SOLL</t>
  </si>
  <si>
    <t>QM-Preis</t>
  </si>
  <si>
    <t>Bitte nur die gelb markierten Felder ausfüllen</t>
  </si>
  <si>
    <t>Basis-Kaufpreis (EUR)</t>
  </si>
  <si>
    <t xml:space="preserve">Faktor IST             </t>
  </si>
  <si>
    <t>vermietbare Fläche Wohnen (m²)</t>
  </si>
  <si>
    <t>vermietbare Fläche Gewerbe (m²)</t>
  </si>
  <si>
    <t>vermietbare Fläche Gesamt (m²)</t>
  </si>
  <si>
    <t>Marktmiete Wohnen (EUR/m²)</t>
  </si>
  <si>
    <t>Marktmiete Gewerbe (EUR/m²)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</si>
</sst>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64" fontId="0" fillId="0" borderId="1" xfId="0" applyNumberFormat="1" applyBorder="1"/>
    <xf numFmtId="4" fontId="4" fillId="3" borderId="1" xfId="0" applyNumberFormat="1" applyFont="1" applyFill="1" applyBorder="1"/>
    <xf numFmtId="4" fontId="0" fillId="0" borderId="1" xfId="0" applyNumberFormat="1" applyBorder="1"/>
    <xf numFmtId="164" fontId="4" fillId="3" borderId="1" xfId="0" applyNumberFormat="1" applyFont="1" applyFill="1" applyBorder="1"/>
    <xf numFmtId="2" fontId="4" fillId="3" borderId="1" xfId="0" applyNumberFormat="1" applyFont="1" applyFill="1" applyBorder="1"/>
    <xf numFmtId="0" fontId="0" fillId="0" borderId="2" xfId="0" applyBorder="1"/>
    <xf numFmtId="3" fontId="4" fillId="3" borderId="3" xfId="0" applyNumberFormat="1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7" xfId="0" applyNumberForma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14" xfId="0" applyBorder="1"/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140" zoomScaleNormal="140" workbookViewId="0">
      <selection activeCell="B13" sqref="B13"/>
    </sheetView>
  </sheetViews>
  <sheetFormatPr baseColWidth="10" defaultRowHeight="15" x14ac:dyDescent="0.25"/>
  <cols>
    <col min="1" max="1" width="31.85546875" bestFit="1" customWidth="1"/>
    <col min="2" max="2" width="16.28515625" bestFit="1" customWidth="1"/>
    <col min="3" max="3" width="12.42578125" bestFit="1" customWidth="1"/>
    <col min="4" max="4" width="12.42578125" customWidth="1"/>
    <col min="5" max="5" width="16.7109375" customWidth="1"/>
    <col min="6" max="6" width="17.5703125" bestFit="1" customWidth="1"/>
    <col min="7" max="7" width="20.28515625" bestFit="1" customWidth="1"/>
  </cols>
  <sheetData>
    <row r="1" spans="1:7" x14ac:dyDescent="0.25">
      <c r="A1" t="s">
        <v>0</v>
      </c>
      <c r="B1" t="s">
        <v>14</v>
      </c>
    </row>
    <row r="3" spans="1:7" ht="30" x14ac:dyDescent="0.25">
      <c r="A3" s="15" t="s">
        <v>1</v>
      </c>
      <c r="B3" s="37"/>
      <c r="C3" s="37"/>
      <c r="D3" s="3"/>
      <c r="E3" s="12"/>
      <c r="F3" s="13" t="s">
        <v>3</v>
      </c>
      <c r="G3" s="14" t="s">
        <v>4</v>
      </c>
    </row>
    <row r="4" spans="1:7" x14ac:dyDescent="0.25">
      <c r="A4" s="4" t="s">
        <v>17</v>
      </c>
      <c r="B4" s="6">
        <v>971.55</v>
      </c>
      <c r="E4" s="4" t="s">
        <v>10</v>
      </c>
      <c r="F4" s="5">
        <f>B7*12</f>
        <v>210206.76</v>
      </c>
      <c r="G4" s="5">
        <f>F4/12/B6</f>
        <v>18.030188873449642</v>
      </c>
    </row>
    <row r="5" spans="1:7" x14ac:dyDescent="0.25">
      <c r="A5" s="4" t="s">
        <v>18</v>
      </c>
      <c r="B5" s="6"/>
      <c r="E5" s="4" t="s">
        <v>11</v>
      </c>
      <c r="F5" s="5">
        <f>B8*12</f>
        <v>0</v>
      </c>
      <c r="G5" s="5">
        <f>F5/12/B6</f>
        <v>0</v>
      </c>
    </row>
    <row r="6" spans="1:7" x14ac:dyDescent="0.25">
      <c r="A6" s="4" t="s">
        <v>19</v>
      </c>
      <c r="B6" s="7">
        <f>SUM(B4:B5)</f>
        <v>971.55</v>
      </c>
      <c r="E6" s="4" t="s">
        <v>2</v>
      </c>
      <c r="F6" s="5">
        <f>(B4*B9+B5*B10)*12</f>
        <v>291465</v>
      </c>
      <c r="G6" s="5">
        <f>F6/12/B6</f>
        <v>25</v>
      </c>
    </row>
    <row r="7" spans="1:7" x14ac:dyDescent="0.25">
      <c r="A7" s="4" t="s">
        <v>9</v>
      </c>
      <c r="B7" s="8">
        <v>17517.23</v>
      </c>
      <c r="G7" s="1"/>
    </row>
    <row r="8" spans="1:7" x14ac:dyDescent="0.25">
      <c r="A8" s="4" t="s">
        <v>12</v>
      </c>
      <c r="B8" s="8"/>
    </row>
    <row r="9" spans="1:7" x14ac:dyDescent="0.25">
      <c r="A9" s="4" t="s">
        <v>20</v>
      </c>
      <c r="B9" s="9">
        <v>25</v>
      </c>
    </row>
    <row r="10" spans="1:7" x14ac:dyDescent="0.25">
      <c r="A10" s="4" t="s">
        <v>21</v>
      </c>
      <c r="B10" s="9"/>
    </row>
    <row r="11" spans="1:7" x14ac:dyDescent="0.25">
      <c r="A11" s="4" t="s">
        <v>15</v>
      </c>
      <c r="B11" s="6">
        <v>4000000</v>
      </c>
    </row>
    <row r="13" spans="1:7" x14ac:dyDescent="0.25">
      <c r="A13" s="10" t="s">
        <v>8</v>
      </c>
      <c r="B13" s="11">
        <v>200000</v>
      </c>
    </row>
    <row r="15" spans="1:7" ht="30" x14ac:dyDescent="0.25">
      <c r="A15" s="19" t="s">
        <v>5</v>
      </c>
      <c r="B15" s="16" t="s">
        <v>13</v>
      </c>
      <c r="C15" s="17" t="s">
        <v>16</v>
      </c>
      <c r="D15" s="16" t="s">
        <v>6</v>
      </c>
      <c r="E15" s="18" t="s">
        <v>7</v>
      </c>
      <c r="G15" s="2"/>
    </row>
    <row r="16" spans="1:7" ht="19.5" customHeight="1" thickBot="1" x14ac:dyDescent="0.3">
      <c r="A16" s="20">
        <f>B11</f>
        <v>4000000</v>
      </c>
      <c r="B16" s="21">
        <f t="shared" ref="B16:B23" si="0">A16/$B$6</f>
        <v>4117.1324172713703</v>
      </c>
      <c r="C16" s="22">
        <f t="shared" ref="C16:C23" si="1">IF($F$4=0,"###",A16/$F$4)</f>
        <v>19.028883752358865</v>
      </c>
      <c r="D16" s="22" t="str">
        <f t="shared" ref="D16:D23" si="2">IF($F$5=0,"###",A16/$F$5)</f>
        <v>###</v>
      </c>
      <c r="E16" s="23">
        <f t="shared" ref="E16:E23" si="3">IF($F$6=0,"###",A16/$F$6)</f>
        <v>13.723774724237902</v>
      </c>
    </row>
    <row r="17" spans="1:5" ht="19.5" customHeight="1" thickBot="1" x14ac:dyDescent="0.3">
      <c r="A17" s="24">
        <f>$B$11+1*$B$13</f>
        <v>4200000</v>
      </c>
      <c r="B17" s="25">
        <f t="shared" si="0"/>
        <v>4322.9890381349396</v>
      </c>
      <c r="C17" s="26">
        <f t="shared" si="1"/>
        <v>19.98032793997681</v>
      </c>
      <c r="D17" s="26" t="str">
        <f t="shared" si="2"/>
        <v>###</v>
      </c>
      <c r="E17" s="27">
        <f t="shared" si="3"/>
        <v>14.409963460449797</v>
      </c>
    </row>
    <row r="18" spans="1:5" ht="19.5" customHeight="1" thickBot="1" x14ac:dyDescent="0.3">
      <c r="A18" s="30">
        <f>$B$11+2*$B$13</f>
        <v>4400000</v>
      </c>
      <c r="B18" s="25">
        <f t="shared" si="0"/>
        <v>4528.845658998508</v>
      </c>
      <c r="C18" s="26">
        <f t="shared" si="1"/>
        <v>20.931772127594755</v>
      </c>
      <c r="D18" s="29" t="str">
        <f t="shared" si="2"/>
        <v>###</v>
      </c>
      <c r="E18" s="28">
        <f t="shared" si="3"/>
        <v>15.096152196661691</v>
      </c>
    </row>
    <row r="19" spans="1:5" ht="19.5" customHeight="1" thickBot="1" x14ac:dyDescent="0.3">
      <c r="A19" s="31">
        <f>$B$11+3*$B$13</f>
        <v>4600000</v>
      </c>
      <c r="B19" s="32">
        <f t="shared" si="0"/>
        <v>4734.7022798620765</v>
      </c>
      <c r="C19" s="26">
        <f t="shared" si="1"/>
        <v>21.883216315212696</v>
      </c>
      <c r="D19" s="26" t="str">
        <f t="shared" si="2"/>
        <v>###</v>
      </c>
      <c r="E19" s="27">
        <f t="shared" si="3"/>
        <v>15.782340932873588</v>
      </c>
    </row>
    <row r="20" spans="1:5" ht="19.5" customHeight="1" thickBot="1" x14ac:dyDescent="0.3">
      <c r="A20" s="31">
        <f>$B$11+4*$B$13</f>
        <v>4800000</v>
      </c>
      <c r="B20" s="25">
        <f t="shared" si="0"/>
        <v>4940.5589007256449</v>
      </c>
      <c r="C20" s="26">
        <f t="shared" si="1"/>
        <v>22.834660502830641</v>
      </c>
      <c r="D20" s="26" t="str">
        <f t="shared" si="2"/>
        <v>###</v>
      </c>
      <c r="E20" s="27">
        <f t="shared" si="3"/>
        <v>16.468529669085481</v>
      </c>
    </row>
    <row r="21" spans="1:5" ht="19.5" customHeight="1" thickBot="1" x14ac:dyDescent="0.3">
      <c r="A21" s="24">
        <f>$B$11+5*$B$13</f>
        <v>5000000</v>
      </c>
      <c r="B21" s="25">
        <f t="shared" si="0"/>
        <v>5146.4155215892133</v>
      </c>
      <c r="C21" s="26">
        <f t="shared" si="1"/>
        <v>23.786104690448585</v>
      </c>
      <c r="D21" s="26" t="str">
        <f t="shared" si="2"/>
        <v>###</v>
      </c>
      <c r="E21" s="27">
        <f t="shared" si="3"/>
        <v>17.154718405297377</v>
      </c>
    </row>
    <row r="22" spans="1:5" ht="19.5" customHeight="1" thickBot="1" x14ac:dyDescent="0.3">
      <c r="A22" s="31">
        <f>$B$11+6*$B$13</f>
        <v>5200000</v>
      </c>
      <c r="B22" s="25">
        <f t="shared" si="0"/>
        <v>5352.2721424527817</v>
      </c>
      <c r="C22" s="26">
        <f t="shared" si="1"/>
        <v>24.737548878066526</v>
      </c>
      <c r="D22" s="26" t="str">
        <f t="shared" si="2"/>
        <v>###</v>
      </c>
      <c r="E22" s="27">
        <f t="shared" si="3"/>
        <v>17.840907141509273</v>
      </c>
    </row>
    <row r="23" spans="1:5" ht="19.5" customHeight="1" thickBot="1" x14ac:dyDescent="0.3">
      <c r="A23" s="34">
        <f>$B$11+7*$B$13</f>
        <v>5400000</v>
      </c>
      <c r="B23" s="35">
        <f t="shared" si="0"/>
        <v>5558.1287633163502</v>
      </c>
      <c r="C23" s="36">
        <f t="shared" si="1"/>
        <v>25.688993065684471</v>
      </c>
      <c r="D23" s="26" t="str">
        <f t="shared" si="2"/>
        <v>###</v>
      </c>
      <c r="E23" s="27">
        <f t="shared" si="3"/>
        <v>18.527095877721166</v>
      </c>
    </row>
    <row r="24" spans="1:5" x14ac:dyDescent="0.25">
      <c r="A24" s="33"/>
      <c r="B24" s="33"/>
      <c r="C24" s="33"/>
    </row>
  </sheetData>
  <mergeCells count="1">
    <mergeCell ref="B3:C3"/>
  </mergeCells>
  <dataValidations count="1">
    <dataValidation type="list" allowBlank="1" showInputMessage="1" showErrorMessage="1" sqref="B13" xr:uid="{00000000-0002-0000-0000-000000000000}">
      <formula1>"25000,50000,100000,200000"</formula1>
    </dataValidation>
  </dataValidations>
  <pageMargins left="0.7" right="0.7" top="0.78740157499999996" bottom="0.78740157499999996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BNP Paribas Real Estate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GRENZ</dc:creator>
  <cp:lastModifiedBy>Sebastian GRENZ</cp:lastModifiedBy>
  <dcterms:created xsi:type="dcterms:W3CDTF">2021-05-20T15:14:59Z</dcterms:created>
  <dcterms:modified xsi:type="dcterms:W3CDTF">2024-02-29T12:21:59Z</dcterms:modified>
</cp:coreProperties>
</file>
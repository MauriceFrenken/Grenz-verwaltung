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166925"/>
  <mc:AlternateContent xmlns:mc="http://schemas.openxmlformats.org/markup-compatibility/2006">
    <mc:Choice Requires="x15">
      <x15ac:absPath xmlns:x15ac="http://schemas.microsoft.com/office/spreadsheetml/2010/11/ac" url="https://grenz451-my.sharepoint.com/personal/s_grenz_grenz-co_de/Documents/Grenz &amp; Co (neu)/03. Vorlagen/5. Mietaufstellung/"/>
    </mc:Choice>
  </mc:AlternateContent>
  <xr:revisionPtr revIDLastSave="854" documentId="8_{D7809CC5-2F4F-5640-852E-158D7D4B8CD4}" xr6:coauthVersionLast="47" xr6:coauthVersionMax="47" xr10:uidLastSave="{F1C2927C-1778-5842-AFEE-502C1D33A400}"/>
  <bookViews>
    <workbookView xWindow="6440" yWindow="820" windowWidth="36060" windowHeight="21380" xr2:uid="{841F8C1F-8845-8748-8B7F-7D2F0ABDA6A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35" i="1" l="1"/>
  <c r="J39" i="1"/>
  <c r="G36" i="1"/>
  <c r="G39" i="1"/>
  <c r="F39" i="1"/>
  <c r="E39" i="1"/>
  <c r="J35" i="1"/>
  <c r="H39" i="1" l="1"/>
  <c r="N23" i="1"/>
  <c r="N24" i="1"/>
  <c r="N25" i="1"/>
  <c r="N26" i="1"/>
  <c r="N27" i="1"/>
  <c r="N28" i="1"/>
  <c r="N29" i="1"/>
  <c r="N30" i="1"/>
  <c r="N31" i="1"/>
  <c r="N32" i="1"/>
  <c r="M8" i="1"/>
  <c r="M9" i="1"/>
  <c r="M10" i="1"/>
  <c r="M11" i="1"/>
  <c r="M12" i="1"/>
  <c r="M13" i="1"/>
  <c r="M14" i="1"/>
  <c r="M15" i="1"/>
  <c r="M16" i="1"/>
  <c r="M17" i="1"/>
  <c r="M18" i="1"/>
  <c r="M19" i="1"/>
  <c r="M20" i="1"/>
  <c r="M21" i="1"/>
  <c r="M22" i="1"/>
  <c r="M7" i="1"/>
  <c r="K8" i="1"/>
  <c r="K9" i="1"/>
  <c r="K10" i="1"/>
  <c r="K11" i="1"/>
  <c r="K12" i="1"/>
  <c r="K13" i="1"/>
  <c r="K14" i="1"/>
  <c r="K15" i="1"/>
  <c r="K16" i="1"/>
  <c r="K17" i="1"/>
  <c r="K18" i="1"/>
  <c r="K19" i="1"/>
  <c r="K20" i="1"/>
  <c r="K21" i="1"/>
  <c r="K22" i="1"/>
  <c r="K7" i="1"/>
  <c r="N8" i="1"/>
  <c r="N9" i="1"/>
  <c r="N10" i="1"/>
  <c r="N11" i="1"/>
  <c r="N12" i="1"/>
  <c r="N36" i="1" s="1"/>
  <c r="N13" i="1"/>
  <c r="N14" i="1"/>
  <c r="N15" i="1"/>
  <c r="N16" i="1"/>
  <c r="N17" i="1"/>
  <c r="N18" i="1"/>
  <c r="N19" i="1"/>
  <c r="N20" i="1"/>
  <c r="N21" i="1"/>
  <c r="N22" i="1"/>
  <c r="L38" i="1"/>
  <c r="L37" i="1"/>
  <c r="I40" i="1"/>
  <c r="J48" i="1" s="1"/>
  <c r="L41" i="1"/>
  <c r="L42" i="1" s="1"/>
  <c r="O41" i="1"/>
  <c r="O42" i="1" s="1"/>
  <c r="P41" i="1"/>
  <c r="P42" i="1" s="1"/>
  <c r="J41" i="1"/>
  <c r="J42" i="1" s="1"/>
  <c r="P36" i="1"/>
  <c r="O36" i="1"/>
  <c r="P35" i="1"/>
  <c r="O35" i="1"/>
  <c r="L36" i="1"/>
  <c r="L35" i="1"/>
  <c r="J38" i="1"/>
  <c r="J37" i="1"/>
  <c r="J36" i="1"/>
  <c r="I36" i="1"/>
  <c r="I35" i="1"/>
  <c r="G38" i="1"/>
  <c r="F38" i="1"/>
  <c r="G37" i="1"/>
  <c r="F37" i="1"/>
  <c r="F36" i="1"/>
  <c r="E38" i="1"/>
  <c r="E37" i="1"/>
  <c r="E36" i="1"/>
  <c r="H36" i="1" s="1"/>
  <c r="F35" i="1"/>
  <c r="E35" i="1"/>
  <c r="H35" i="1" s="1"/>
  <c r="N7" i="1"/>
  <c r="H37" i="1" l="1"/>
  <c r="H38" i="1"/>
  <c r="J47" i="1"/>
  <c r="J46" i="1"/>
  <c r="K35" i="1"/>
  <c r="M36" i="1"/>
  <c r="K36" i="1"/>
  <c r="L46" i="1" a="1"/>
  <c r="L46" i="1" s="1"/>
  <c r="L47" i="1" a="1"/>
  <c r="L47" i="1" s="1"/>
  <c r="N35" i="1"/>
  <c r="N41" i="1"/>
  <c r="N42" i="1" s="1"/>
  <c r="M3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<sst xmlns="http://schemas.openxmlformats.org/spreadsheetml/2006/main" count="126" uniqueCount="68">
  <si>
    <t>Objektadresse:</t>
  </si>
  <si>
    <t>Kaufpreis:</t>
  </si>
  <si>
    <t>PLZ / Ort:</t>
  </si>
  <si>
    <t>Einheit</t>
  </si>
  <si>
    <t>Lage</t>
  </si>
  <si>
    <t>Mieter</t>
  </si>
  <si>
    <t>Vertrag Beginn</t>
  </si>
  <si>
    <t>Info</t>
  </si>
  <si>
    <t>Nutzung</t>
  </si>
  <si>
    <t>Belegung</t>
  </si>
  <si>
    <t>Fläche</t>
  </si>
  <si>
    <t>mtl. Kaltmiete</t>
  </si>
  <si>
    <t>IST</t>
  </si>
  <si>
    <t>SOLL</t>
  </si>
  <si>
    <t>Nebenkosten Vorauszahlung</t>
  </si>
  <si>
    <t>davon Betriebskosten</t>
  </si>
  <si>
    <t>davon Heizkosten</t>
  </si>
  <si>
    <t>Wohnen</t>
  </si>
  <si>
    <t>vermietet</t>
  </si>
  <si>
    <t>Laufzeit</t>
  </si>
  <si>
    <t>Gewerbe</t>
  </si>
  <si>
    <t>Leerstand</t>
  </si>
  <si>
    <t>leer</t>
  </si>
  <si>
    <t>Stellplatz</t>
  </si>
  <si>
    <t>Anzahl</t>
  </si>
  <si>
    <t>Garagenstellplatz</t>
  </si>
  <si>
    <t>Auswertung</t>
  </si>
  <si>
    <t>Fläche gesamt</t>
  </si>
  <si>
    <t>Gesamt (Monat)</t>
  </si>
  <si>
    <t>Gesamt (Jahr)</t>
  </si>
  <si>
    <t>m²</t>
  </si>
  <si>
    <t>EUR</t>
  </si>
  <si>
    <t>EUR/m²</t>
  </si>
  <si>
    <t>mtl. Kaltmiete pro m²</t>
  </si>
  <si>
    <t>Kaufpreisfaktor</t>
  </si>
  <si>
    <t>Kaufpreis pro m²</t>
  </si>
  <si>
    <t>Bruttorendite</t>
  </si>
  <si>
    <t>Die von uns gemachten Angaben beruhen auf Informationen und Mitteilungen durch Dritte, insbesondere durch die Grundstückseigentümer. Wir sind stets bemüht richtige und vollständige Angaben zu erteilen. Eine Haftung für die Inhaltliche Richtigkeit und/oder Vollständigkeit dieser Angaben wird nicht übernommen.</t>
  </si>
  <si>
    <t>Alter Grenzweg 39-41</t>
  </si>
  <si>
    <t>51375 Leverkusen</t>
  </si>
  <si>
    <t>39 EG li</t>
  </si>
  <si>
    <t>39 EG re</t>
  </si>
  <si>
    <t>39 1.OG li</t>
  </si>
  <si>
    <t>39 1.OG re</t>
  </si>
  <si>
    <t>39 2.OG li</t>
  </si>
  <si>
    <t>39 2.OG re</t>
  </si>
  <si>
    <t>39 DG li</t>
  </si>
  <si>
    <t>39 DG re</t>
  </si>
  <si>
    <t>41 EG li</t>
  </si>
  <si>
    <t>41 EG re</t>
  </si>
  <si>
    <t>41 1.OG li</t>
  </si>
  <si>
    <t>41 1.OG re</t>
  </si>
  <si>
    <t>41 2.OG li</t>
  </si>
  <si>
    <t>41 2.OG re</t>
  </si>
  <si>
    <t>41 DG li</t>
  </si>
  <si>
    <t>41 DG re</t>
  </si>
  <si>
    <t>Stellplatz 1</t>
  </si>
  <si>
    <t>Stellplatz 2</t>
  </si>
  <si>
    <t>Stellplatz 3</t>
  </si>
  <si>
    <t>Stellplatz 4</t>
  </si>
  <si>
    <t>Garage 5</t>
  </si>
  <si>
    <t>Garage 1</t>
  </si>
  <si>
    <t>Garage 2</t>
  </si>
  <si>
    <t>Garage 3</t>
  </si>
  <si>
    <t>Garage 4</t>
  </si>
  <si>
    <t>Sonstiges</t>
  </si>
  <si>
    <t>Dachantenne</t>
  </si>
  <si>
    <t>Indexiert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</si>
</sst>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_-;\-* #,##0_-;_-* &quot;-&quot;??_-;_-@_-"/>
    <numFmt numFmtId="165" formatCode="0.00\ &quot;fach&quot;"/>
    <numFmt numFmtId="166" formatCode="0.00\ %"/>
    <numFmt numFmtId="167" formatCode="#,##0.00\ &quot;EUR/m²&quot;"/>
    <numFmt numFmtId="168" formatCode="dd/mm/yyyy"/>
  </numFmts>
  <fonts count="6"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4">
    <fill>
      <patternFill patternType="none"/>
    </fill>
    <fill>
      <patternFill patternType="gray125"/>
    </fill>
    <fill>
      <patternFill patternType="solid">
        <fgColor rgb="FF233466"/>
        <bgColor indexed="64"/>
      </patternFill>
    </fill>
    <fill>
      <patternFill patternType="solid">
        <fgColor theme="0"/>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top style="thin">
        <color theme="0"/>
      </top>
      <bottom/>
      <diagonal/>
    </border>
    <border>
      <left/>
      <right/>
      <top/>
      <bottom style="thin">
        <color theme="0"/>
      </bottom>
      <diagonal/>
    </border>
    <border>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style="thin">
        <color theme="0"/>
      </top>
      <bottom/>
      <diagonal/>
    </border>
    <border>
      <left/>
      <right/>
      <top style="thin">
        <color theme="0"/>
      </top>
      <bottom style="thin">
        <color theme="0"/>
      </bottom>
      <diagonal/>
    </border>
    <border>
      <left style="thin">
        <color theme="1"/>
      </left>
      <right/>
      <top/>
      <bottom/>
      <diagonal/>
    </border>
    <border>
      <left/>
      <right style="thin">
        <color theme="1"/>
      </right>
      <top style="thin">
        <color indexed="64"/>
      </top>
      <bottom style="thin">
        <color indexed="64"/>
      </bottom>
      <diagonal/>
    </border>
    <border>
      <left/>
      <right/>
      <top style="thin">
        <color indexed="64"/>
      </top>
      <bottom style="thin">
        <color theme="1"/>
      </bottom>
      <diagonal/>
    </border>
    <border>
      <left/>
      <right/>
      <top style="thin">
        <color theme="1"/>
      </top>
      <bottom style="thin">
        <color theme="0"/>
      </bottom>
      <diagonal/>
    </border>
    <border>
      <left/>
      <right style="thin">
        <color theme="0"/>
      </right>
      <top style="thin">
        <color theme="1"/>
      </top>
      <bottom style="thin">
        <color theme="0"/>
      </bottom>
      <diagonal/>
    </border>
    <border>
      <left style="thin">
        <color theme="0"/>
      </left>
      <right/>
      <top style="thin">
        <color theme="1"/>
      </top>
      <bottom/>
      <diagonal/>
    </border>
    <border>
      <left/>
      <right/>
      <top style="thin">
        <color theme="1"/>
      </top>
      <bottom/>
      <diagonal/>
    </border>
    <border>
      <left/>
      <right/>
      <top style="thin">
        <color indexed="64"/>
      </top>
      <bottom style="thin">
        <color theme="0"/>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43" fontId="0" fillId="0" borderId="0" xfId="1" applyFont="1"/>
    <xf numFmtId="43" fontId="0" fillId="0" borderId="0" xfId="1" applyFont="1" applyAlignment="1">
      <alignment wrapText="1"/>
    </xf>
    <xf numFmtId="43" fontId="4" fillId="2" borderId="0" xfId="1" applyFont="1" applyFill="1"/>
    <xf numFmtId="43" fontId="0" fillId="2" borderId="0" xfId="1" applyFont="1" applyFill="1"/>
    <xf numFmtId="43" fontId="0" fillId="0" borderId="1" xfId="1" applyFont="1" applyBorder="1"/>
    <xf numFmtId="43" fontId="0" fillId="0" borderId="2" xfId="1" applyFont="1" applyBorder="1"/>
    <xf numFmtId="43" fontId="4" fillId="2" borderId="0" xfId="1" applyFont="1" applyFill="1" applyAlignment="1">
      <alignment horizontal="center"/>
    </xf>
    <xf numFmtId="43" fontId="4" fillId="2" borderId="3" xfId="1" applyFont="1" applyFill="1" applyBorder="1"/>
    <xf numFmtId="43" fontId="4" fillId="2" borderId="0" xfId="1" applyFont="1" applyFill="1" applyBorder="1"/>
    <xf numFmtId="43" fontId="4" fillId="2" borderId="3" xfId="1" applyFont="1" applyFill="1" applyBorder="1" applyAlignment="1">
      <alignment horizontal="right"/>
    </xf>
    <xf numFmtId="43" fontId="0" fillId="0" borderId="0" xfId="1" applyFont="1" applyBorder="1"/>
    <xf numFmtId="43" fontId="4" fillId="2" borderId="0" xfId="1" applyFont="1" applyFill="1" applyAlignment="1">
      <alignment horizontal="center" vertical="center" wrapText="1"/>
    </xf>
    <xf numFmtId="43" fontId="4" fillId="2" borderId="4" xfId="1" applyFont="1" applyFill="1" applyBorder="1" applyAlignment="1">
      <alignment horizontal="center" vertical="center" wrapText="1"/>
    </xf>
    <xf numFmtId="43" fontId="4" fillId="2" borderId="6" xfId="1" applyFont="1" applyFill="1" applyBorder="1" applyAlignment="1">
      <alignment horizontal="center" vertical="center" wrapText="1"/>
    </xf>
    <xf numFmtId="43" fontId="4" fillId="2" borderId="7" xfId="1" applyFont="1" applyFill="1" applyBorder="1" applyAlignment="1">
      <alignment horizontal="right"/>
    </xf>
    <xf numFmtId="43" fontId="4" fillId="2" borderId="9" xfId="1" applyFont="1" applyFill="1" applyBorder="1" applyAlignment="1">
      <alignment horizontal="center" vertical="center" wrapText="1"/>
    </xf>
    <xf numFmtId="43" fontId="1" fillId="2" borderId="5" xfId="1" applyFont="1" applyFill="1" applyBorder="1"/>
    <xf numFmtId="43" fontId="1" fillId="2" borderId="0" xfId="1" applyFont="1" applyFill="1"/>
    <xf numFmtId="43" fontId="1" fillId="2" borderId="0" xfId="1" applyFont="1" applyFill="1" applyAlignment="1">
      <alignment horizontal="center"/>
    </xf>
    <xf numFmtId="164" fontId="1" fillId="0" borderId="1" xfId="1" applyNumberFormat="1" applyFont="1" applyBorder="1"/>
    <xf numFmtId="43" fontId="1" fillId="0" borderId="1" xfId="1" applyFont="1" applyBorder="1"/>
    <xf numFmtId="43" fontId="1" fillId="0" borderId="1" xfId="1" applyFont="1" applyBorder="1" applyAlignment="1">
      <alignment horizontal="right"/>
    </xf>
    <xf numFmtId="164" fontId="1" fillId="0" borderId="2" xfId="1" applyNumberFormat="1" applyFont="1" applyBorder="1"/>
    <xf numFmtId="43" fontId="1" fillId="0" borderId="2" xfId="1" applyFont="1" applyBorder="1"/>
    <xf numFmtId="43" fontId="1" fillId="0" borderId="2" xfId="1" applyFont="1" applyBorder="1" applyAlignment="1">
      <alignment horizontal="right"/>
    </xf>
    <xf numFmtId="43" fontId="1" fillId="0" borderId="0" xfId="1" applyFont="1"/>
    <xf numFmtId="43" fontId="4" fillId="0" borderId="0" xfId="1" applyFont="1" applyAlignment="1">
      <alignment vertical="center"/>
    </xf>
    <xf numFmtId="43" fontId="4" fillId="2" borderId="0" xfId="1" applyFont="1" applyFill="1" applyAlignment="1">
      <alignment vertical="center"/>
    </xf>
    <xf numFmtId="43" fontId="4" fillId="2" borderId="9" xfId="1" applyFont="1" applyFill="1" applyBorder="1" applyAlignment="1">
      <alignment vertical="center"/>
    </xf>
    <xf numFmtId="43" fontId="4" fillId="2" borderId="4" xfId="1" applyFont="1" applyFill="1" applyBorder="1" applyAlignment="1">
      <alignment vertical="center"/>
    </xf>
    <xf numFmtId="43" fontId="4" fillId="2" borderId="10" xfId="1" applyFont="1" applyFill="1" applyBorder="1" applyAlignment="1">
      <alignment vertical="center"/>
    </xf>
    <xf numFmtId="43" fontId="4" fillId="2" borderId="8" xfId="1" applyFont="1" applyFill="1" applyBorder="1" applyAlignment="1">
      <alignment vertical="center"/>
    </xf>
    <xf numFmtId="43" fontId="4" fillId="2" borderId="3" xfId="1" applyFont="1" applyFill="1" applyBorder="1" applyAlignment="1">
      <alignment vertical="center"/>
    </xf>
    <xf numFmtId="43" fontId="3" fillId="0" borderId="0" xfId="1" applyFont="1" applyBorder="1" applyAlignment="1"/>
    <xf numFmtId="44" fontId="3" fillId="0" borderId="0" xfId="2" applyFont="1" applyBorder="1" applyAlignment="1"/>
    <xf numFmtId="43" fontId="3" fillId="0" borderId="12" xfId="1" applyFont="1" applyBorder="1" applyAlignment="1"/>
    <xf numFmtId="43" fontId="0" fillId="3" borderId="0" xfId="1" applyFont="1" applyFill="1"/>
    <xf numFmtId="43" fontId="0" fillId="3" borderId="8" xfId="1" applyFont="1" applyFill="1" applyBorder="1"/>
    <xf numFmtId="43" fontId="4" fillId="2" borderId="6" xfId="1" applyFont="1" applyFill="1" applyBorder="1" applyAlignment="1">
      <alignment vertical="center"/>
    </xf>
    <xf numFmtId="43" fontId="4" fillId="2" borderId="5" xfId="1" applyFont="1" applyFill="1" applyBorder="1" applyAlignment="1">
      <alignment vertical="center"/>
    </xf>
    <xf numFmtId="43" fontId="4" fillId="2" borderId="0" xfId="1" applyFont="1" applyFill="1" applyBorder="1" applyAlignment="1">
      <alignment vertical="center"/>
    </xf>
    <xf numFmtId="0" fontId="0" fillId="0" borderId="1" xfId="1" applyNumberFormat="1" applyFont="1" applyBorder="1" applyAlignment="1">
      <alignment horizontal="right" indent="1"/>
    </xf>
    <xf numFmtId="168" fontId="0" fillId="0" borderId="1" xfId="1" applyNumberFormat="1" applyFont="1" applyBorder="1"/>
    <xf numFmtId="168" fontId="0" fillId="0" borderId="2" xfId="1" applyNumberFormat="1" applyFont="1" applyBorder="1"/>
    <xf numFmtId="43" fontId="4" fillId="2" borderId="5" xfId="1" applyFont="1" applyFill="1" applyBorder="1" applyAlignment="1">
      <alignment horizontal="center" textRotation="90"/>
    </xf>
    <xf numFmtId="9" fontId="1" fillId="0" borderId="2" xfId="3" applyFont="1" applyBorder="1" applyAlignment="1">
      <alignment horizontal="right"/>
    </xf>
    <xf numFmtId="43" fontId="4" fillId="2" borderId="8" xfId="1" applyFont="1" applyFill="1" applyBorder="1"/>
    <xf numFmtId="43" fontId="4" fillId="2" borderId="15" xfId="1" applyFont="1" applyFill="1" applyBorder="1" applyAlignment="1">
      <alignment vertical="center"/>
    </xf>
    <xf numFmtId="43" fontId="4" fillId="2" borderId="16" xfId="1" applyFont="1" applyFill="1" applyBorder="1" applyAlignment="1">
      <alignment vertical="center"/>
    </xf>
    <xf numFmtId="43" fontId="4" fillId="0" borderId="17" xfId="1" applyFont="1" applyBorder="1" applyAlignment="1">
      <alignment vertical="center"/>
    </xf>
    <xf numFmtId="43" fontId="4" fillId="0" borderId="18" xfId="1" applyFont="1" applyBorder="1" applyAlignment="1">
      <alignment vertical="center"/>
    </xf>
    <xf numFmtId="43" fontId="1" fillId="0" borderId="14" xfId="1" applyFont="1" applyBorder="1"/>
    <xf numFmtId="2" fontId="1" fillId="0" borderId="2" xfId="3" applyNumberFormat="1" applyFont="1" applyBorder="1"/>
    <xf numFmtId="9" fontId="1" fillId="0" borderId="1" xfId="3" applyFont="1" applyBorder="1" applyAlignment="1">
      <alignment horizontal="right"/>
    </xf>
    <xf numFmtId="14" fontId="0" fillId="0" borderId="1" xfId="1" applyNumberFormat="1" applyFont="1" applyBorder="1"/>
    <xf numFmtId="43" fontId="4" fillId="2" borderId="5" xfId="1" applyFont="1" applyFill="1" applyBorder="1" applyAlignment="1">
      <alignment horizontal="center" textRotation="90"/>
    </xf>
    <xf numFmtId="43" fontId="2" fillId="2" borderId="11" xfId="1" applyFont="1" applyFill="1" applyBorder="1" applyAlignment="1">
      <alignment horizontal="left"/>
    </xf>
    <xf numFmtId="43" fontId="2" fillId="2" borderId="1" xfId="1" applyFont="1" applyFill="1" applyBorder="1" applyAlignment="1">
      <alignment horizontal="left"/>
    </xf>
    <xf numFmtId="43" fontId="3" fillId="0" borderId="2" xfId="1" applyFont="1" applyBorder="1" applyAlignment="1">
      <alignment horizontal="left"/>
    </xf>
    <xf numFmtId="43" fontId="3" fillId="0" borderId="13" xfId="1" applyFont="1" applyBorder="1" applyAlignment="1">
      <alignment horizontal="left"/>
    </xf>
    <xf numFmtId="44" fontId="3" fillId="0" borderId="2" xfId="2" applyFont="1" applyBorder="1" applyAlignment="1">
      <alignment horizontal="center"/>
    </xf>
    <xf numFmtId="44" fontId="3" fillId="0" borderId="13" xfId="2" applyFont="1" applyBorder="1" applyAlignment="1">
      <alignment horizontal="center"/>
    </xf>
    <xf numFmtId="49" fontId="1" fillId="0" borderId="0" xfId="1" applyNumberFormat="1" applyFont="1" applyAlignment="1">
      <alignment horizontal="left" vertical="center" wrapText="1"/>
    </xf>
    <xf numFmtId="166" fontId="4" fillId="2" borderId="7" xfId="3" applyNumberFormat="1" applyFont="1" applyFill="1" applyBorder="1" applyAlignment="1">
      <alignment horizontal="center" vertical="center"/>
    </xf>
    <xf numFmtId="166" fontId="4" fillId="2" borderId="10" xfId="3" applyNumberFormat="1" applyFont="1" applyFill="1" applyBorder="1" applyAlignment="1">
      <alignment horizontal="center" vertical="center"/>
    </xf>
    <xf numFmtId="165" fontId="4" fillId="2" borderId="8" xfId="1" applyNumberFormat="1" applyFont="1" applyFill="1" applyBorder="1" applyAlignment="1">
      <alignment horizontal="center" vertical="center"/>
    </xf>
    <xf numFmtId="165" fontId="4" fillId="2" borderId="5" xfId="1" applyNumberFormat="1" applyFont="1" applyFill="1" applyBorder="1" applyAlignment="1">
      <alignment horizontal="center" vertical="center"/>
    </xf>
    <xf numFmtId="166" fontId="4" fillId="2" borderId="3" xfId="3" applyNumberFormat="1" applyFont="1" applyFill="1" applyBorder="1" applyAlignment="1">
      <alignment horizontal="center" vertical="center"/>
    </xf>
    <xf numFmtId="165" fontId="4" fillId="2" borderId="0" xfId="1" applyNumberFormat="1" applyFont="1" applyFill="1" applyBorder="1" applyAlignment="1">
      <alignment horizontal="center" vertical="center"/>
    </xf>
    <xf numFmtId="167" fontId="4" fillId="2" borderId="8" xfId="1" applyNumberFormat="1" applyFont="1" applyFill="1" applyBorder="1" applyAlignment="1">
      <alignment horizontal="center" vertical="center"/>
    </xf>
    <xf numFmtId="167" fontId="4" fillId="2" borderId="5" xfId="1" applyNumberFormat="1" applyFont="1" applyFill="1" applyBorder="1" applyAlignment="1">
      <alignment horizontal="center" vertical="center"/>
    </xf>
    <xf numFmtId="43" fontId="4" fillId="2" borderId="4" xfId="1" applyFont="1" applyFill="1" applyBorder="1" applyAlignment="1">
      <alignment horizontal="center"/>
    </xf>
    <xf numFmtId="43" fontId="4" fillId="2" borderId="6" xfId="1" applyFont="1" applyFill="1" applyBorder="1" applyAlignment="1">
      <alignment horizontal="center"/>
    </xf>
    <xf numFmtId="43" fontId="4" fillId="2" borderId="9" xfId="1" applyFont="1" applyFill="1" applyBorder="1" applyAlignment="1">
      <alignment horizontal="center"/>
    </xf>
    <xf numFmtId="43" fontId="4" fillId="2" borderId="9" xfId="1" applyFont="1" applyFill="1" applyBorder="1" applyAlignment="1">
      <alignment horizontal="center" vertical="center"/>
    </xf>
    <xf numFmtId="43" fontId="4" fillId="2" borderId="6" xfId="1" applyFont="1" applyFill="1" applyBorder="1" applyAlignment="1">
      <alignment horizontal="center" vertical="center"/>
    </xf>
    <xf numFmtId="43" fontId="4" fillId="2" borderId="4" xfId="1" applyFont="1" applyFill="1" applyBorder="1" applyAlignment="1">
      <alignment horizontal="center" vertical="center"/>
    </xf>
    <xf numFmtId="43" fontId="2" fillId="2" borderId="19" xfId="1" applyFont="1" applyFill="1" applyBorder="1" applyAlignment="1">
      <alignment horizontal="left"/>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colors>
    <mruColors>
      <color rgb="FF2334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196488</xdr:colOff>
      <xdr:row>0</xdr:row>
      <xdr:rowOff>139700</xdr:rowOff>
    </xdr:from>
    <xdr:to>
      <xdr:col>15</xdr:col>
      <xdr:colOff>884687</xdr:colOff>
      <xdr:row>2</xdr:row>
      <xdr:rowOff>152400</xdr:rowOff>
    </xdr:to>
    <xdr:pic>
      <xdr:nvPicPr>
        <xdr:cNvPr id="4" name="Grafik 3">
          <a:extLst>
            <a:ext uri="{FF2B5EF4-FFF2-40B4-BE49-F238E27FC236}">
              <a16:creationId xmlns:a16="http://schemas.microsoft.com/office/drawing/2014/main" id="{5E57C16F-C88C-F92B-6F5D-A45F36CDEAE6}"/>
            </a:ext>
          </a:extLst>
        </xdr:cNvPr>
        <xdr:cNvPicPr>
          <a:picLocks noChangeAspect="1"/>
        </xdr:cNvPicPr>
      </xdr:nvPicPr>
      <xdr:blipFill>
        <a:blip xmlns:r="http://schemas.openxmlformats.org/officeDocument/2006/relationships" r:embed="rId1"/>
        <a:stretch>
          <a:fillRect/>
        </a:stretch>
      </xdr:blipFill>
      <xdr:spPr>
        <a:xfrm>
          <a:off x="14026788" y="139700"/>
          <a:ext cx="2720199" cy="4191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AB99-9275-D244-8E99-C96F468819A8}">
  <dimension ref="A1:P50"/>
  <sheetViews>
    <sheetView tabSelected="1" zoomScaleNormal="100" workbookViewId="0">
      <pane ySplit="6" topLeftCell="A7" activePane="bottomLeft" state="frozen"/>
      <selection pane="bottomLeft" activeCell="F4" sqref="F4"/>
    </sheetView>
  </sheetViews>
  <sheetFormatPr baseColWidth="10" defaultRowHeight="16" x14ac:dyDescent="0.2"/>
  <cols>
    <col min="1" max="1" width="7.33203125" style="1" customWidth="1"/>
    <col min="2" max="2" width="14.1640625" style="1" customWidth="1"/>
    <col min="3" max="3" width="15.6640625" style="1" customWidth="1"/>
    <col min="4" max="4" width="16" style="1" customWidth="1"/>
    <col min="5" max="5" width="13.33203125" style="1" customWidth="1"/>
    <col min="6" max="6" width="17.1640625" style="1" customWidth="1"/>
    <col min="7" max="7" width="16.5" style="1" customWidth="1"/>
    <col min="8" max="8" width="13.5" style="1" customWidth="1"/>
    <col min="9" max="9" width="15.33203125" style="1" customWidth="1"/>
    <col min="10" max="10" width="12.5" style="1" customWidth="1"/>
    <col min="11" max="11" width="13.5" style="1" customWidth="1"/>
    <col min="12" max="12" width="12.5" style="1" customWidth="1"/>
    <col min="13" max="13" width="13.5" style="1" customWidth="1"/>
    <col min="14" max="16" width="13.33203125" style="1" customWidth="1"/>
    <col min="17" max="16384" width="10.83203125" style="1"/>
  </cols>
  <sheetData>
    <row r="1" spans="1:16" x14ac:dyDescent="0.2">
      <c r="A1" s="78" t="s">
        <v>0</v>
      </c>
      <c r="B1" s="78"/>
      <c r="C1" s="59" t="s">
        <v>38</v>
      </c>
      <c r="D1" s="60"/>
      <c r="E1" s="36"/>
      <c r="N1" s="37"/>
      <c r="O1" s="37"/>
      <c r="P1" s="37"/>
    </row>
    <row r="2" spans="1:16" x14ac:dyDescent="0.2">
      <c r="A2" s="57" t="s">
        <v>2</v>
      </c>
      <c r="B2" s="57"/>
      <c r="C2" s="59" t="s">
        <v>39</v>
      </c>
      <c r="D2" s="60"/>
      <c r="E2" s="34"/>
      <c r="H2" s="11"/>
      <c r="I2" s="11"/>
      <c r="L2" s="11"/>
      <c r="N2" s="37"/>
      <c r="O2" s="37"/>
      <c r="P2" s="37"/>
    </row>
    <row r="3" spans="1:16" x14ac:dyDescent="0.2">
      <c r="A3" s="58" t="s">
        <v>1</v>
      </c>
      <c r="B3" s="58"/>
      <c r="C3" s="61">
        <v>1975000</v>
      </c>
      <c r="D3" s="62"/>
      <c r="E3" s="35"/>
      <c r="H3" s="11"/>
      <c r="I3" s="11"/>
      <c r="L3" s="11"/>
      <c r="N3" s="37"/>
      <c r="O3" s="37"/>
      <c r="P3" s="37"/>
    </row>
    <row r="4" spans="1:16" x14ac:dyDescent="0.2">
      <c r="H4" s="11"/>
      <c r="I4" s="11"/>
      <c r="J4" s="72" t="s">
        <v>12</v>
      </c>
      <c r="K4" s="73"/>
      <c r="L4" s="74" t="s">
        <v>13</v>
      </c>
      <c r="M4" s="73"/>
      <c r="N4" s="38"/>
      <c r="O4" s="37"/>
      <c r="P4" s="37"/>
    </row>
    <row r="5" spans="1:16" s="2" customFormat="1" ht="34" x14ac:dyDescent="0.2">
      <c r="A5" s="12" t="s">
        <v>3</v>
      </c>
      <c r="B5" s="12" t="s">
        <v>4</v>
      </c>
      <c r="C5" s="13" t="s">
        <v>5</v>
      </c>
      <c r="D5" s="13" t="s">
        <v>6</v>
      </c>
      <c r="E5" s="12" t="s">
        <v>19</v>
      </c>
      <c r="F5" s="12" t="s">
        <v>7</v>
      </c>
      <c r="G5" s="12" t="s">
        <v>8</v>
      </c>
      <c r="H5" s="13" t="s">
        <v>9</v>
      </c>
      <c r="I5" s="12" t="s">
        <v>10</v>
      </c>
      <c r="J5" s="16" t="s">
        <v>11</v>
      </c>
      <c r="K5" s="14" t="s">
        <v>33</v>
      </c>
      <c r="L5" s="12" t="s">
        <v>11</v>
      </c>
      <c r="M5" s="12" t="s">
        <v>33</v>
      </c>
      <c r="N5" s="16" t="s">
        <v>14</v>
      </c>
      <c r="O5" s="12" t="s">
        <v>15</v>
      </c>
      <c r="P5" s="12" t="s">
        <v>16</v>
      </c>
    </row>
    <row r="6" spans="1:16" x14ac:dyDescent="0.2">
      <c r="A6" s="8"/>
      <c r="B6" s="8"/>
      <c r="C6" s="9"/>
      <c r="D6" s="9"/>
      <c r="E6" s="8"/>
      <c r="F6" s="8"/>
      <c r="G6" s="8"/>
      <c r="H6" s="9"/>
      <c r="I6" s="10" t="s">
        <v>30</v>
      </c>
      <c r="J6" s="15" t="s">
        <v>31</v>
      </c>
      <c r="K6" s="10" t="s">
        <v>32</v>
      </c>
      <c r="L6" s="15" t="s">
        <v>31</v>
      </c>
      <c r="M6" s="10" t="s">
        <v>32</v>
      </c>
      <c r="N6" s="15"/>
      <c r="O6" s="10"/>
      <c r="P6" s="10"/>
    </row>
    <row r="7" spans="1:16" x14ac:dyDescent="0.2">
      <c r="A7" s="42">
        <v>1</v>
      </c>
      <c r="B7" s="5" t="s">
        <v>40</v>
      </c>
      <c r="C7" s="5"/>
      <c r="D7" s="43"/>
      <c r="E7" s="5"/>
      <c r="F7" s="5"/>
      <c r="G7" s="5" t="s">
        <v>17</v>
      </c>
      <c r="H7" s="5" t="s">
        <v>18</v>
      </c>
      <c r="I7" s="5">
        <v>65</v>
      </c>
      <c r="J7" s="5">
        <v>660</v>
      </c>
      <c r="K7" s="5">
        <f>IF(I7=0,"###",J7/I7)</f>
        <v>10.153846153846153</v>
      </c>
      <c r="L7" s="5"/>
      <c r="M7" s="5">
        <f>IF(I7=0,"###",L7/I7)</f>
        <v>0</v>
      </c>
      <c r="N7" s="5">
        <f>SUM(O7:P7)</f>
        <v>0</v>
      </c>
      <c r="O7" s="5"/>
      <c r="P7" s="5"/>
    </row>
    <row r="8" spans="1:16" x14ac:dyDescent="0.2">
      <c r="A8" s="42">
        <v>2</v>
      </c>
      <c r="B8" s="5" t="s">
        <v>41</v>
      </c>
      <c r="C8" s="5"/>
      <c r="D8" s="43"/>
      <c r="E8" s="5"/>
      <c r="F8" s="5"/>
      <c r="G8" s="5" t="s">
        <v>17</v>
      </c>
      <c r="H8" s="5" t="s">
        <v>18</v>
      </c>
      <c r="I8" s="5">
        <v>65</v>
      </c>
      <c r="J8" s="5">
        <v>409.58</v>
      </c>
      <c r="K8" s="5">
        <f t="shared" ref="K8:K22" si="0">IF(I8=0,"###",J8/I8)</f>
        <v>6.3012307692307692</v>
      </c>
      <c r="L8" s="5"/>
      <c r="M8" s="5">
        <f t="shared" ref="M8:M22" si="1">IF(I8=0,"###",L8/I8)</f>
        <v>0</v>
      </c>
      <c r="N8" s="5">
        <f t="shared" ref="N8:N32" si="2">SUM(O8:P8)</f>
        <v>0</v>
      </c>
      <c r="O8" s="5"/>
      <c r="P8" s="5"/>
    </row>
    <row r="9" spans="1:16" x14ac:dyDescent="0.2">
      <c r="A9" s="42">
        <v>3</v>
      </c>
      <c r="B9" s="5" t="s">
        <v>42</v>
      </c>
      <c r="C9" s="5"/>
      <c r="D9" s="55">
        <v>44562</v>
      </c>
      <c r="E9" s="55"/>
      <c r="F9" s="5" t="s">
        <v>67</v>
      </c>
      <c r="G9" s="5" t="s">
        <v>17</v>
      </c>
      <c r="H9" s="5" t="s">
        <v>18</v>
      </c>
      <c r="I9" s="5">
        <v>65</v>
      </c>
      <c r="J9" s="5">
        <v>750</v>
      </c>
      <c r="K9" s="5">
        <f t="shared" si="0"/>
        <v>11.538461538461538</v>
      </c>
      <c r="L9" s="5"/>
      <c r="M9" s="5">
        <f t="shared" si="1"/>
        <v>0</v>
      </c>
      <c r="N9" s="5">
        <f t="shared" si="2"/>
        <v>0</v>
      </c>
      <c r="O9" s="5"/>
      <c r="P9" s="5"/>
    </row>
    <row r="10" spans="1:16" x14ac:dyDescent="0.2">
      <c r="A10" s="42">
        <v>4</v>
      </c>
      <c r="B10" s="5" t="s">
        <v>43</v>
      </c>
      <c r="C10" s="5"/>
      <c r="D10" s="43"/>
      <c r="E10" s="5"/>
      <c r="F10" s="5"/>
      <c r="G10" s="5" t="s">
        <v>17</v>
      </c>
      <c r="H10" s="5" t="s">
        <v>18</v>
      </c>
      <c r="I10" s="5">
        <v>65</v>
      </c>
      <c r="J10" s="5">
        <v>825</v>
      </c>
      <c r="K10" s="5">
        <f t="shared" si="0"/>
        <v>12.692307692307692</v>
      </c>
      <c r="L10" s="5"/>
      <c r="M10" s="5">
        <f t="shared" si="1"/>
        <v>0</v>
      </c>
      <c r="N10" s="5">
        <f t="shared" si="2"/>
        <v>0</v>
      </c>
      <c r="O10" s="5"/>
      <c r="P10" s="5"/>
    </row>
    <row r="11" spans="1:16" x14ac:dyDescent="0.2">
      <c r="A11" s="42">
        <v>5</v>
      </c>
      <c r="B11" s="5" t="s">
        <v>44</v>
      </c>
      <c r="C11" s="5"/>
      <c r="D11" s="43"/>
      <c r="E11" s="5"/>
      <c r="F11" s="5"/>
      <c r="G11" s="5" t="s">
        <v>17</v>
      </c>
      <c r="H11" s="5" t="s">
        <v>18</v>
      </c>
      <c r="I11" s="5">
        <v>65</v>
      </c>
      <c r="J11" s="5">
        <v>440</v>
      </c>
      <c r="K11" s="5">
        <f t="shared" si="0"/>
        <v>6.7692307692307692</v>
      </c>
      <c r="L11" s="5"/>
      <c r="M11" s="5">
        <f t="shared" si="1"/>
        <v>0</v>
      </c>
      <c r="N11" s="5">
        <f t="shared" si="2"/>
        <v>0</v>
      </c>
      <c r="O11" s="5"/>
      <c r="P11" s="5"/>
    </row>
    <row r="12" spans="1:16" x14ac:dyDescent="0.2">
      <c r="A12" s="42">
        <v>6</v>
      </c>
      <c r="B12" s="5" t="s">
        <v>45</v>
      </c>
      <c r="C12" s="5"/>
      <c r="D12" s="43"/>
      <c r="E12" s="5"/>
      <c r="F12" s="5"/>
      <c r="G12" s="5" t="s">
        <v>20</v>
      </c>
      <c r="H12" s="5" t="s">
        <v>18</v>
      </c>
      <c r="I12" s="5">
        <v>65</v>
      </c>
      <c r="J12" s="5">
        <v>433.18</v>
      </c>
      <c r="K12" s="5">
        <f t="shared" si="0"/>
        <v>6.664307692307692</v>
      </c>
      <c r="L12" s="5"/>
      <c r="M12" s="5">
        <f t="shared" si="1"/>
        <v>0</v>
      </c>
      <c r="N12" s="5">
        <f t="shared" si="2"/>
        <v>0</v>
      </c>
      <c r="O12" s="5"/>
      <c r="P12" s="5"/>
    </row>
    <row r="13" spans="1:16" x14ac:dyDescent="0.2">
      <c r="A13" s="42">
        <v>7</v>
      </c>
      <c r="B13" s="5" t="s">
        <v>46</v>
      </c>
      <c r="C13" s="5"/>
      <c r="D13" s="43"/>
      <c r="E13" s="5"/>
      <c r="F13" s="5"/>
      <c r="G13" s="5" t="s">
        <v>20</v>
      </c>
      <c r="H13" s="5" t="s">
        <v>18</v>
      </c>
      <c r="I13" s="5">
        <v>58.75</v>
      </c>
      <c r="J13" s="5">
        <v>650</v>
      </c>
      <c r="K13" s="5">
        <f t="shared" si="0"/>
        <v>11.063829787234043</v>
      </c>
      <c r="L13" s="5"/>
      <c r="M13" s="5">
        <f t="shared" si="1"/>
        <v>0</v>
      </c>
      <c r="N13" s="5">
        <f t="shared" si="2"/>
        <v>0</v>
      </c>
      <c r="O13" s="5"/>
      <c r="P13" s="5"/>
    </row>
    <row r="14" spans="1:16" x14ac:dyDescent="0.2">
      <c r="A14" s="42">
        <v>8</v>
      </c>
      <c r="B14" s="5" t="s">
        <v>47</v>
      </c>
      <c r="C14" s="5"/>
      <c r="D14" s="43"/>
      <c r="E14" s="5"/>
      <c r="F14" s="5"/>
      <c r="G14" s="5" t="s">
        <v>20</v>
      </c>
      <c r="H14" s="5" t="s">
        <v>18</v>
      </c>
      <c r="I14" s="5">
        <v>58.75</v>
      </c>
      <c r="J14" s="5">
        <v>510</v>
      </c>
      <c r="K14" s="5">
        <f t="shared" si="0"/>
        <v>8.6808510638297864</v>
      </c>
      <c r="L14" s="5"/>
      <c r="M14" s="5">
        <f t="shared" si="1"/>
        <v>0</v>
      </c>
      <c r="N14" s="5">
        <f t="shared" si="2"/>
        <v>0</v>
      </c>
      <c r="O14" s="5"/>
      <c r="P14" s="5"/>
    </row>
    <row r="15" spans="1:16" x14ac:dyDescent="0.2">
      <c r="A15" s="42">
        <v>9</v>
      </c>
      <c r="B15" s="5" t="s">
        <v>48</v>
      </c>
      <c r="C15" s="5"/>
      <c r="D15" s="43"/>
      <c r="E15" s="5"/>
      <c r="F15" s="5"/>
      <c r="G15" s="5" t="s">
        <v>17</v>
      </c>
      <c r="H15" s="5" t="s">
        <v>18</v>
      </c>
      <c r="I15" s="5">
        <v>65</v>
      </c>
      <c r="J15" s="5">
        <v>745</v>
      </c>
      <c r="K15" s="5">
        <f t="shared" si="0"/>
        <v>11.461538461538462</v>
      </c>
      <c r="L15" s="5"/>
      <c r="M15" s="5">
        <f t="shared" si="1"/>
        <v>0</v>
      </c>
      <c r="N15" s="5">
        <f t="shared" si="2"/>
        <v>0</v>
      </c>
      <c r="O15" s="5"/>
      <c r="P15" s="5"/>
    </row>
    <row r="16" spans="1:16" x14ac:dyDescent="0.2">
      <c r="A16" s="42">
        <v>10</v>
      </c>
      <c r="B16" s="5" t="s">
        <v>49</v>
      </c>
      <c r="C16" s="5"/>
      <c r="D16" s="43"/>
      <c r="E16" s="5"/>
      <c r="F16" s="5"/>
      <c r="G16" s="5" t="s">
        <v>17</v>
      </c>
      <c r="H16" s="5" t="s">
        <v>18</v>
      </c>
      <c r="I16" s="5">
        <v>65</v>
      </c>
      <c r="J16" s="5">
        <v>650</v>
      </c>
      <c r="K16" s="5">
        <f t="shared" si="0"/>
        <v>10</v>
      </c>
      <c r="L16" s="5"/>
      <c r="M16" s="5">
        <f t="shared" si="1"/>
        <v>0</v>
      </c>
      <c r="N16" s="5">
        <f t="shared" si="2"/>
        <v>0</v>
      </c>
      <c r="O16" s="5"/>
      <c r="P16" s="5"/>
    </row>
    <row r="17" spans="1:16" x14ac:dyDescent="0.2">
      <c r="A17" s="42">
        <v>11</v>
      </c>
      <c r="B17" s="5" t="s">
        <v>50</v>
      </c>
      <c r="C17" s="5"/>
      <c r="D17" s="43"/>
      <c r="E17" s="5"/>
      <c r="F17" s="5"/>
      <c r="G17" s="5" t="s">
        <v>17</v>
      </c>
      <c r="H17" s="5" t="s">
        <v>18</v>
      </c>
      <c r="I17" s="5">
        <v>65</v>
      </c>
      <c r="J17" s="5">
        <v>460</v>
      </c>
      <c r="K17" s="5">
        <f t="shared" si="0"/>
        <v>7.0769230769230766</v>
      </c>
      <c r="L17" s="5"/>
      <c r="M17" s="5">
        <f t="shared" si="1"/>
        <v>0</v>
      </c>
      <c r="N17" s="5">
        <f t="shared" si="2"/>
        <v>0</v>
      </c>
      <c r="O17" s="5"/>
      <c r="P17" s="5"/>
    </row>
    <row r="18" spans="1:16" x14ac:dyDescent="0.2">
      <c r="A18" s="42">
        <v>12</v>
      </c>
      <c r="B18" s="5" t="s">
        <v>51</v>
      </c>
      <c r="C18" s="5"/>
      <c r="D18" s="43"/>
      <c r="E18" s="5"/>
      <c r="F18" s="5"/>
      <c r="G18" s="5" t="s">
        <v>17</v>
      </c>
      <c r="H18" s="5" t="s">
        <v>18</v>
      </c>
      <c r="I18" s="5">
        <v>65</v>
      </c>
      <c r="J18" s="5">
        <v>503.18</v>
      </c>
      <c r="K18" s="5">
        <f t="shared" si="0"/>
        <v>7.7412307692307696</v>
      </c>
      <c r="L18" s="5"/>
      <c r="M18" s="5">
        <f t="shared" si="1"/>
        <v>0</v>
      </c>
      <c r="N18" s="5">
        <f t="shared" si="2"/>
        <v>0</v>
      </c>
      <c r="O18" s="5"/>
      <c r="P18" s="5"/>
    </row>
    <row r="19" spans="1:16" x14ac:dyDescent="0.2">
      <c r="A19" s="42">
        <v>13</v>
      </c>
      <c r="B19" s="5" t="s">
        <v>52</v>
      </c>
      <c r="C19" s="5"/>
      <c r="D19" s="43"/>
      <c r="E19" s="5"/>
      <c r="F19" s="5"/>
      <c r="G19" s="5" t="s">
        <v>17</v>
      </c>
      <c r="H19" s="5" t="s">
        <v>18</v>
      </c>
      <c r="I19" s="5">
        <v>65</v>
      </c>
      <c r="J19" s="5">
        <v>750</v>
      </c>
      <c r="K19" s="5">
        <f t="shared" si="0"/>
        <v>11.538461538461538</v>
      </c>
      <c r="L19" s="5"/>
      <c r="M19" s="5">
        <f t="shared" si="1"/>
        <v>0</v>
      </c>
      <c r="N19" s="5">
        <f t="shared" si="2"/>
        <v>0</v>
      </c>
      <c r="O19" s="5"/>
      <c r="P19" s="5"/>
    </row>
    <row r="20" spans="1:16" x14ac:dyDescent="0.2">
      <c r="A20" s="42">
        <v>14</v>
      </c>
      <c r="B20" s="5" t="s">
        <v>53</v>
      </c>
      <c r="C20" s="5"/>
      <c r="D20" s="43"/>
      <c r="E20" s="5"/>
      <c r="F20" s="5"/>
      <c r="G20" s="5" t="s">
        <v>17</v>
      </c>
      <c r="H20" s="5" t="s">
        <v>18</v>
      </c>
      <c r="I20" s="5">
        <v>65</v>
      </c>
      <c r="J20" s="5">
        <v>560.17999999999995</v>
      </c>
      <c r="K20" s="5">
        <f t="shared" si="0"/>
        <v>8.6181538461538452</v>
      </c>
      <c r="L20" s="5"/>
      <c r="M20" s="5">
        <f t="shared" si="1"/>
        <v>0</v>
      </c>
      <c r="N20" s="5">
        <f t="shared" si="2"/>
        <v>0</v>
      </c>
      <c r="O20" s="5"/>
      <c r="P20" s="5"/>
    </row>
    <row r="21" spans="1:16" x14ac:dyDescent="0.2">
      <c r="A21" s="42">
        <v>15</v>
      </c>
      <c r="B21" s="5" t="s">
        <v>54</v>
      </c>
      <c r="C21" s="5"/>
      <c r="D21" s="43"/>
      <c r="E21" s="5"/>
      <c r="F21" s="5"/>
      <c r="G21" s="5" t="s">
        <v>17</v>
      </c>
      <c r="H21" s="5" t="s">
        <v>18</v>
      </c>
      <c r="I21" s="5">
        <v>58.75</v>
      </c>
      <c r="J21" s="5">
        <v>725</v>
      </c>
      <c r="K21" s="5">
        <f t="shared" si="0"/>
        <v>12.340425531914894</v>
      </c>
      <c r="L21" s="5"/>
      <c r="M21" s="5">
        <f t="shared" si="1"/>
        <v>0</v>
      </c>
      <c r="N21" s="5">
        <f t="shared" si="2"/>
        <v>0</v>
      </c>
      <c r="O21" s="5"/>
      <c r="P21" s="5"/>
    </row>
    <row r="22" spans="1:16" x14ac:dyDescent="0.2">
      <c r="A22" s="42">
        <v>16</v>
      </c>
      <c r="B22" s="5" t="s">
        <v>55</v>
      </c>
      <c r="C22" s="5"/>
      <c r="D22" s="43"/>
      <c r="E22" s="5"/>
      <c r="F22" s="5"/>
      <c r="G22" s="5" t="s">
        <v>17</v>
      </c>
      <c r="H22" s="5" t="s">
        <v>18</v>
      </c>
      <c r="I22" s="5">
        <v>58.75</v>
      </c>
      <c r="J22" s="5">
        <v>475</v>
      </c>
      <c r="K22" s="5">
        <f t="shared" si="0"/>
        <v>8.085106382978724</v>
      </c>
      <c r="L22" s="5"/>
      <c r="M22" s="5">
        <f t="shared" si="1"/>
        <v>0</v>
      </c>
      <c r="N22" s="5">
        <f t="shared" si="2"/>
        <v>0</v>
      </c>
      <c r="O22" s="5"/>
      <c r="P22" s="5"/>
    </row>
    <row r="23" spans="1:16" x14ac:dyDescent="0.2">
      <c r="A23" s="42">
        <v>17</v>
      </c>
      <c r="B23" s="6" t="s">
        <v>56</v>
      </c>
      <c r="C23" s="6"/>
      <c r="D23" s="44"/>
      <c r="E23" s="6"/>
      <c r="F23" s="6"/>
      <c r="G23" s="6" t="s">
        <v>23</v>
      </c>
      <c r="H23" s="5" t="s">
        <v>18</v>
      </c>
      <c r="I23" s="6"/>
      <c r="J23" s="6">
        <v>15</v>
      </c>
      <c r="K23" s="5"/>
      <c r="L23" s="6"/>
      <c r="M23" s="5"/>
      <c r="N23" s="5">
        <f t="shared" si="2"/>
        <v>0</v>
      </c>
      <c r="O23" s="6"/>
      <c r="P23" s="6"/>
    </row>
    <row r="24" spans="1:16" x14ac:dyDescent="0.2">
      <c r="A24" s="42">
        <v>18</v>
      </c>
      <c r="B24" s="6" t="s">
        <v>57</v>
      </c>
      <c r="C24" s="6"/>
      <c r="D24" s="44"/>
      <c r="E24" s="6"/>
      <c r="F24" s="6"/>
      <c r="G24" s="6" t="s">
        <v>23</v>
      </c>
      <c r="H24" s="5" t="s">
        <v>18</v>
      </c>
      <c r="I24" s="6"/>
      <c r="J24" s="6">
        <v>20</v>
      </c>
      <c r="K24" s="5"/>
      <c r="L24" s="6"/>
      <c r="M24" s="5"/>
      <c r="N24" s="5">
        <f t="shared" si="2"/>
        <v>0</v>
      </c>
      <c r="O24" s="6"/>
      <c r="P24" s="6"/>
    </row>
    <row r="25" spans="1:16" x14ac:dyDescent="0.2">
      <c r="A25" s="42">
        <v>19</v>
      </c>
      <c r="B25" s="6" t="s">
        <v>58</v>
      </c>
      <c r="C25" s="6"/>
      <c r="D25" s="44"/>
      <c r="E25" s="6"/>
      <c r="F25" s="6"/>
      <c r="G25" s="6" t="s">
        <v>23</v>
      </c>
      <c r="H25" s="5" t="s">
        <v>18</v>
      </c>
      <c r="I25" s="6"/>
      <c r="J25" s="6">
        <v>25</v>
      </c>
      <c r="K25" s="5"/>
      <c r="L25" s="6"/>
      <c r="M25" s="5"/>
      <c r="N25" s="5">
        <f t="shared" si="2"/>
        <v>0</v>
      </c>
      <c r="O25" s="6"/>
      <c r="P25" s="6"/>
    </row>
    <row r="26" spans="1:16" x14ac:dyDescent="0.2">
      <c r="A26" s="42">
        <v>20</v>
      </c>
      <c r="B26" s="6" t="s">
        <v>59</v>
      </c>
      <c r="C26" s="6"/>
      <c r="D26" s="44"/>
      <c r="E26" s="6"/>
      <c r="F26" s="6"/>
      <c r="G26" s="6" t="s">
        <v>23</v>
      </c>
      <c r="H26" s="5" t="s">
        <v>18</v>
      </c>
      <c r="I26" s="6"/>
      <c r="J26" s="6">
        <v>15</v>
      </c>
      <c r="K26" s="5"/>
      <c r="L26" s="6"/>
      <c r="M26" s="5"/>
      <c r="N26" s="5">
        <f t="shared" si="2"/>
        <v>0</v>
      </c>
      <c r="O26" s="6"/>
      <c r="P26" s="6"/>
    </row>
    <row r="27" spans="1:16" x14ac:dyDescent="0.2">
      <c r="A27" s="42">
        <v>21</v>
      </c>
      <c r="B27" s="6" t="s">
        <v>61</v>
      </c>
      <c r="C27" s="6"/>
      <c r="D27" s="44"/>
      <c r="E27" s="6"/>
      <c r="F27" s="6"/>
      <c r="G27" s="6" t="s">
        <v>25</v>
      </c>
      <c r="H27" s="5" t="s">
        <v>18</v>
      </c>
      <c r="I27" s="6"/>
      <c r="J27" s="6">
        <v>70</v>
      </c>
      <c r="K27" s="6"/>
      <c r="L27" s="6"/>
      <c r="M27" s="6"/>
      <c r="N27" s="5">
        <f t="shared" si="2"/>
        <v>0</v>
      </c>
      <c r="O27" s="6"/>
      <c r="P27" s="6"/>
    </row>
    <row r="28" spans="1:16" x14ac:dyDescent="0.2">
      <c r="A28" s="42">
        <v>22</v>
      </c>
      <c r="B28" s="6" t="s">
        <v>62</v>
      </c>
      <c r="C28" s="6"/>
      <c r="D28" s="44"/>
      <c r="E28" s="6"/>
      <c r="F28" s="6"/>
      <c r="G28" s="6" t="s">
        <v>25</v>
      </c>
      <c r="H28" s="5" t="s">
        <v>18</v>
      </c>
      <c r="I28" s="6"/>
      <c r="J28" s="6">
        <v>60</v>
      </c>
      <c r="K28" s="6"/>
      <c r="L28" s="6"/>
      <c r="M28" s="6"/>
      <c r="N28" s="5">
        <f t="shared" si="2"/>
        <v>0</v>
      </c>
      <c r="O28" s="6"/>
      <c r="P28" s="6"/>
    </row>
    <row r="29" spans="1:16" x14ac:dyDescent="0.2">
      <c r="A29" s="42">
        <v>23</v>
      </c>
      <c r="B29" s="6" t="s">
        <v>63</v>
      </c>
      <c r="C29" s="6"/>
      <c r="D29" s="44"/>
      <c r="E29" s="6"/>
      <c r="F29" s="6"/>
      <c r="G29" s="6" t="s">
        <v>25</v>
      </c>
      <c r="H29" s="6" t="s">
        <v>18</v>
      </c>
      <c r="I29" s="6"/>
      <c r="J29" s="6">
        <v>80</v>
      </c>
      <c r="K29" s="6"/>
      <c r="L29" s="6"/>
      <c r="M29" s="6"/>
      <c r="N29" s="5">
        <f t="shared" si="2"/>
        <v>0</v>
      </c>
      <c r="O29" s="6"/>
      <c r="P29" s="6"/>
    </row>
    <row r="30" spans="1:16" x14ac:dyDescent="0.2">
      <c r="A30" s="42">
        <v>24</v>
      </c>
      <c r="B30" s="6" t="s">
        <v>64</v>
      </c>
      <c r="C30" s="6"/>
      <c r="D30" s="44"/>
      <c r="E30" s="6"/>
      <c r="F30" s="6"/>
      <c r="G30" s="6" t="s">
        <v>25</v>
      </c>
      <c r="H30" s="6" t="s">
        <v>18</v>
      </c>
      <c r="I30" s="6"/>
      <c r="J30" s="6">
        <v>50</v>
      </c>
      <c r="K30" s="6"/>
      <c r="L30" s="6"/>
      <c r="M30" s="6"/>
      <c r="N30" s="5">
        <f t="shared" si="2"/>
        <v>0</v>
      </c>
      <c r="O30" s="6"/>
      <c r="P30" s="6"/>
    </row>
    <row r="31" spans="1:16" x14ac:dyDescent="0.2">
      <c r="A31" s="42">
        <v>25</v>
      </c>
      <c r="B31" s="6" t="s">
        <v>60</v>
      </c>
      <c r="C31" s="6"/>
      <c r="D31" s="44"/>
      <c r="E31" s="6"/>
      <c r="F31" s="6"/>
      <c r="G31" s="6" t="s">
        <v>25</v>
      </c>
      <c r="H31" s="6" t="s">
        <v>18</v>
      </c>
      <c r="I31" s="6"/>
      <c r="J31" s="6">
        <v>60</v>
      </c>
      <c r="K31" s="6"/>
      <c r="L31" s="6"/>
      <c r="M31" s="6"/>
      <c r="N31" s="5">
        <f t="shared" si="2"/>
        <v>0</v>
      </c>
      <c r="O31" s="6"/>
      <c r="P31" s="6"/>
    </row>
    <row r="32" spans="1:16" x14ac:dyDescent="0.2">
      <c r="A32" s="42">
        <v>26</v>
      </c>
      <c r="B32" s="6" t="s">
        <v>66</v>
      </c>
      <c r="C32" s="6"/>
      <c r="D32" s="44"/>
      <c r="E32" s="6"/>
      <c r="F32" s="6"/>
      <c r="G32" s="6" t="s">
        <v>23</v>
      </c>
      <c r="H32" s="6" t="s">
        <v>18</v>
      </c>
      <c r="I32" s="6"/>
      <c r="J32" s="6">
        <v>435</v>
      </c>
      <c r="K32" s="6"/>
      <c r="L32" s="6"/>
      <c r="M32" s="6"/>
      <c r="N32" s="5">
        <f t="shared" si="2"/>
        <v>0</v>
      </c>
      <c r="O32" s="6"/>
      <c r="P32" s="6"/>
    </row>
    <row r="33" spans="1:16" x14ac:dyDescent="0.2">
      <c r="A33" s="4"/>
      <c r="B33" s="4"/>
      <c r="C33" s="17"/>
      <c r="D33" s="18"/>
      <c r="E33" s="19"/>
      <c r="F33" s="19"/>
      <c r="G33" s="19"/>
      <c r="H33" s="19"/>
      <c r="I33" s="18"/>
      <c r="J33" s="18"/>
      <c r="K33" s="18"/>
      <c r="L33" s="18"/>
      <c r="M33" s="18"/>
      <c r="N33" s="18"/>
      <c r="O33" s="18"/>
      <c r="P33" s="18"/>
    </row>
    <row r="34" spans="1:16" x14ac:dyDescent="0.2">
      <c r="A34" s="4"/>
      <c r="B34" s="4"/>
      <c r="C34" s="56" t="s">
        <v>26</v>
      </c>
      <c r="D34" s="3"/>
      <c r="E34" s="7" t="s">
        <v>24</v>
      </c>
      <c r="F34" s="7" t="s">
        <v>18</v>
      </c>
      <c r="G34" s="7" t="s">
        <v>22</v>
      </c>
      <c r="H34" s="7" t="s">
        <v>21</v>
      </c>
      <c r="I34" s="3"/>
      <c r="J34" s="3"/>
      <c r="K34" s="3"/>
      <c r="L34" s="3"/>
      <c r="M34" s="3"/>
      <c r="N34" s="3"/>
      <c r="O34" s="3"/>
      <c r="P34" s="3"/>
    </row>
    <row r="35" spans="1:16" ht="16" customHeight="1" x14ac:dyDescent="0.2">
      <c r="C35" s="56"/>
      <c r="D35" s="3" t="s">
        <v>17</v>
      </c>
      <c r="E35" s="20">
        <f>COUNTIF($G$7:$G$32,"Wohnen")</f>
        <v>13</v>
      </c>
      <c r="F35" s="21">
        <f>SUMIFS($I$7:$I$32,$G$7:$G$32,"Wohnen",$H$7:$H$32,"vermietet")</f>
        <v>832.5</v>
      </c>
      <c r="G35" s="53">
        <f>SUMIFS($I$7:$I$32,$G$7:$G$32,"Wohnen",$H$7:$H$32,"leer")</f>
        <v>0</v>
      </c>
      <c r="H35" s="54">
        <f>IF(E35&gt;0,G35/I35,"-")</f>
        <v>0</v>
      </c>
      <c r="I35" s="21">
        <f>SUMIF($G$7:$G$32,"Wohnen",$I$7:$I$32)</f>
        <v>832.5</v>
      </c>
      <c r="J35" s="21">
        <f>SUMIFS(J7:J32,G7:G32,"Wohnen",H7:H32,"vermietet")</f>
        <v>7952.9400000000005</v>
      </c>
      <c r="K35" s="22">
        <f>IF(E35&gt;0,J35/F35,"-")</f>
        <v>9.553081081081082</v>
      </c>
      <c r="L35" s="21">
        <f>SUMIF($G$7:$G$32,"Wohnen",L$7:L$32)</f>
        <v>0</v>
      </c>
      <c r="M35" s="21">
        <f>IF(E35&gt;0,L35/I35,"-")</f>
        <v>0</v>
      </c>
      <c r="N35" s="21">
        <f>SUMIF($G$7:$G$32,"Wohnen",$N$7:$N$32)</f>
        <v>0</v>
      </c>
      <c r="O35" s="21">
        <f>SUMIF($G$7:$G$32,"Wohnen",$O$7:$O$32)</f>
        <v>0</v>
      </c>
      <c r="P35" s="21">
        <f>SUMIF($G$7:$G$32,"Wohnen",$P$7:$P$32)</f>
        <v>0</v>
      </c>
    </row>
    <row r="36" spans="1:16" x14ac:dyDescent="0.2">
      <c r="C36" s="56"/>
      <c r="D36" s="9" t="s">
        <v>20</v>
      </c>
      <c r="E36" s="23">
        <f>COUNTIF($G$7:$G$32,"Gewerbe")</f>
        <v>3</v>
      </c>
      <c r="F36" s="24">
        <f>SUMIFS($I$7:$I$32,$G$7:$G$32,"Gewerbe",$H$7:$H$32,"vermietet")</f>
        <v>182.5</v>
      </c>
      <c r="G36" s="53">
        <f>SUMIFS($I$7:$I$32,$G$7:$G$32,"Gewerbe",$H$7:$H$32,"leer")</f>
        <v>0</v>
      </c>
      <c r="H36" s="46">
        <f>IF(E36&gt;0,G36/I36,"-")</f>
        <v>0</v>
      </c>
      <c r="I36" s="24">
        <f>SUMIF($G$7:$G$32,"Gewerbe",$I$7:$I$32)</f>
        <v>182.5</v>
      </c>
      <c r="J36" s="24">
        <f>SUMIF($G$7:$G$32,"Gewerbe",$J$7:$J$32)</f>
        <v>1593.18</v>
      </c>
      <c r="K36" s="25">
        <f>IF(E36&gt;0,J36/F36,"-")</f>
        <v>8.7297534246575346</v>
      </c>
      <c r="L36" s="24">
        <f>SUMIF($G$7:$G$32,"Gewerbe",L$7:L$32)</f>
        <v>0</v>
      </c>
      <c r="M36" s="25">
        <f>IF(E36&gt;0,L36/I36,"-")</f>
        <v>0</v>
      </c>
      <c r="N36" s="24">
        <f>SUMIF($G$7:$G$32,"Gewerbe",$N$7:$N$32)</f>
        <v>0</v>
      </c>
      <c r="O36" s="24">
        <f>SUMIF($G$7:$G$32,"Gewerbe",$O$7:$O$32)</f>
        <v>0</v>
      </c>
      <c r="P36" s="24">
        <f>SUMIF($G$7:$G$32,"Gewerbe",$P$7:$P$32)</f>
        <v>0</v>
      </c>
    </row>
    <row r="37" spans="1:16" x14ac:dyDescent="0.2">
      <c r="C37" s="56"/>
      <c r="D37" s="9" t="s">
        <v>23</v>
      </c>
      <c r="E37" s="23">
        <f>COUNTIF($G$7:$G$32,"Stellplatz")</f>
        <v>5</v>
      </c>
      <c r="F37" s="23">
        <f>COUNTIFS($G$7:$G$32,"Stellplatz",$H$7:$H$32,"vermietet")</f>
        <v>5</v>
      </c>
      <c r="G37" s="23">
        <f>COUNTIFS($G$7:$G$32,"Stellplatz",$H$7:$H$32,"leer")</f>
        <v>0</v>
      </c>
      <c r="H37" s="46">
        <f>IF(E37&gt;0,G37/E37,"-")</f>
        <v>0</v>
      </c>
      <c r="I37" s="24"/>
      <c r="J37" s="24">
        <f>SUMIF($G$7:$G$32,"Stellplatz",$J$7:$J$32)</f>
        <v>510</v>
      </c>
      <c r="K37" s="24"/>
      <c r="L37" s="24">
        <f>SUMIF($G$7:$G$32,"Stellplatz",L$7:L$32)</f>
        <v>0</v>
      </c>
      <c r="M37" s="24"/>
      <c r="N37" s="24"/>
      <c r="O37" s="24"/>
      <c r="P37" s="24"/>
    </row>
    <row r="38" spans="1:16" x14ac:dyDescent="0.2">
      <c r="C38" s="56"/>
      <c r="D38" s="9" t="s">
        <v>25</v>
      </c>
      <c r="E38" s="23">
        <f>COUNTIF($G$7:$G$32,"Garagenstellplatz")</f>
        <v>5</v>
      </c>
      <c r="F38" s="23">
        <f>COUNTIFS($G$7:$G$32,"Garagenstellplatz",$H$7:$H$32,"vermietet")</f>
        <v>5</v>
      </c>
      <c r="G38" s="23">
        <f>COUNTIFS($G$7:$G$32,"Garagenstellplatz",$H$7:$H$32,"leer")</f>
        <v>0</v>
      </c>
      <c r="H38" s="46">
        <f>IF(E38&gt;0,G38/E38,"-")</f>
        <v>0</v>
      </c>
      <c r="I38" s="24"/>
      <c r="J38" s="24">
        <f>SUMIF($G$7:$G$32,"Garagenstellplatz",$J$7:$J$32)</f>
        <v>320</v>
      </c>
      <c r="K38" s="24"/>
      <c r="L38" s="24">
        <f>SUMIF($G$7:$G$32,"Garagenstellplatz",L$7:L$32)</f>
        <v>0</v>
      </c>
      <c r="M38" s="24"/>
      <c r="N38" s="24"/>
      <c r="O38" s="24"/>
      <c r="P38" s="24"/>
    </row>
    <row r="39" spans="1:16" x14ac:dyDescent="0.2">
      <c r="C39" s="45"/>
      <c r="D39" s="47" t="s">
        <v>65</v>
      </c>
      <c r="E39" s="23">
        <f>COUNTIF($G$7:$G$32,"Sonstiges")</f>
        <v>0</v>
      </c>
      <c r="F39" s="23">
        <f>COUNTIFS($G$7:$G$32,"Sonstiges",$H$7:$H$32,"vermietet")</f>
        <v>0</v>
      </c>
      <c r="G39" s="23">
        <f>COUNTIFS($G$7:$G$32,"Sonstiges",$H$7:$H$32,"leer")</f>
        <v>0</v>
      </c>
      <c r="H39" s="46" t="str">
        <f>IF(E39&gt;0,G39/E39,"-")</f>
        <v>-</v>
      </c>
      <c r="I39" s="52"/>
      <c r="J39" s="24">
        <f>SUMIF($G$7:$G$32,"Sonstiges",$J$7:$J$32)</f>
        <v>0</v>
      </c>
      <c r="K39" s="52"/>
      <c r="L39" s="52"/>
      <c r="M39" s="52"/>
      <c r="N39" s="52"/>
      <c r="O39" s="52"/>
      <c r="P39" s="52"/>
    </row>
    <row r="40" spans="1:16" ht="20" customHeight="1" x14ac:dyDescent="0.2">
      <c r="C40" s="26"/>
      <c r="D40" s="26"/>
      <c r="E40" s="26"/>
      <c r="F40" s="26"/>
      <c r="G40" s="26"/>
      <c r="H40" s="48" t="s">
        <v>27</v>
      </c>
      <c r="I40" s="49">
        <f>SUM(I7:I32)</f>
        <v>1015</v>
      </c>
      <c r="J40" s="50"/>
      <c r="K40" s="51"/>
      <c r="L40" s="27"/>
      <c r="M40" s="51"/>
      <c r="N40" s="27"/>
      <c r="O40" s="27"/>
      <c r="P40" s="27"/>
    </row>
    <row r="41" spans="1:16" ht="20" customHeight="1" x14ac:dyDescent="0.2">
      <c r="C41" s="63" t="s">
        <v>37</v>
      </c>
      <c r="D41" s="63"/>
      <c r="E41" s="63"/>
      <c r="F41" s="63"/>
      <c r="G41" s="63"/>
      <c r="H41" s="63"/>
      <c r="I41" s="28" t="s">
        <v>28</v>
      </c>
      <c r="J41" s="29">
        <f>SUM(J7:J32)</f>
        <v>10376.120000000001</v>
      </c>
      <c r="K41" s="30"/>
      <c r="L41" s="30">
        <f>SUM(L7:L32)</f>
        <v>0</v>
      </c>
      <c r="M41" s="30"/>
      <c r="N41" s="30">
        <f>SUM(N7:N32)</f>
        <v>0</v>
      </c>
      <c r="O41" s="30">
        <f>SUM(O7:O32)</f>
        <v>0</v>
      </c>
      <c r="P41" s="28">
        <f>SUM(P7:P32)</f>
        <v>0</v>
      </c>
    </row>
    <row r="42" spans="1:16" ht="20" customHeight="1" x14ac:dyDescent="0.2">
      <c r="C42" s="63"/>
      <c r="D42" s="63"/>
      <c r="E42" s="63"/>
      <c r="F42" s="63"/>
      <c r="G42" s="63"/>
      <c r="H42" s="63"/>
      <c r="I42" s="31" t="s">
        <v>29</v>
      </c>
      <c r="J42" s="32">
        <f>J41*12</f>
        <v>124513.44</v>
      </c>
      <c r="K42" s="28"/>
      <c r="L42" s="28">
        <f>L41*12</f>
        <v>0</v>
      </c>
      <c r="M42" s="28"/>
      <c r="N42" s="28">
        <f>N41*12</f>
        <v>0</v>
      </c>
      <c r="O42" s="28">
        <f t="shared" ref="O42:P42" si="3">O41*12</f>
        <v>0</v>
      </c>
      <c r="P42" s="33">
        <f t="shared" si="3"/>
        <v>0</v>
      </c>
    </row>
    <row r="43" spans="1:16" ht="20" customHeight="1" x14ac:dyDescent="0.2">
      <c r="C43" s="63"/>
      <c r="D43" s="63"/>
      <c r="E43" s="63"/>
      <c r="F43" s="63"/>
      <c r="G43" s="63"/>
      <c r="H43" s="63"/>
      <c r="I43" s="26"/>
      <c r="J43" s="26"/>
      <c r="K43" s="26"/>
      <c r="L43" s="26"/>
      <c r="M43" s="26"/>
      <c r="N43" s="26"/>
      <c r="O43" s="26"/>
      <c r="P43" s="26"/>
    </row>
    <row r="44" spans="1:16" ht="20" customHeight="1" x14ac:dyDescent="0.2">
      <c r="H44" s="26"/>
      <c r="N44" s="26"/>
      <c r="O44" s="26"/>
      <c r="P44" s="26"/>
    </row>
    <row r="45" spans="1:16" ht="20" customHeight="1" x14ac:dyDescent="0.2">
      <c r="H45" s="26"/>
      <c r="I45" s="39"/>
      <c r="J45" s="75" t="s">
        <v>12</v>
      </c>
      <c r="K45" s="76"/>
      <c r="L45" s="75" t="s">
        <v>13</v>
      </c>
      <c r="M45" s="77"/>
      <c r="N45" s="26"/>
      <c r="O45" s="26"/>
      <c r="P45" s="26"/>
    </row>
    <row r="46" spans="1:16" ht="20" customHeight="1" x14ac:dyDescent="0.2">
      <c r="H46" s="26"/>
      <c r="I46" s="31" t="s">
        <v>36</v>
      </c>
      <c r="J46" s="64">
        <f>IF(C3=0,"###",J42/C3)</f>
        <v>6.304477974683545E-2</v>
      </c>
      <c r="K46" s="65"/>
      <c r="L46" s="64" t="str" cm="1">
        <f t="array" ref="L46">_xlfn.IFS(C3=0,"###",L42=0,"###",L42&gt;0,L42/C3)</f>
        <v>###</v>
      </c>
      <c r="M46" s="68"/>
      <c r="N46" s="26"/>
      <c r="O46" s="26"/>
      <c r="P46" s="26"/>
    </row>
    <row r="47" spans="1:16" ht="20" customHeight="1" x14ac:dyDescent="0.2">
      <c r="H47" s="26"/>
      <c r="I47" s="40" t="s">
        <v>34</v>
      </c>
      <c r="J47" s="66">
        <f>IF(C3=0,"###",C3/J42)</f>
        <v>15.861741511599069</v>
      </c>
      <c r="K47" s="67"/>
      <c r="L47" s="66" t="str" cm="1">
        <f t="array" ref="L47">_xlfn.IFS(C3=0,"###",L42=0,"###",C3&gt;0,C3/L42)</f>
        <v>###</v>
      </c>
      <c r="M47" s="69"/>
      <c r="N47" s="26"/>
      <c r="O47" s="26"/>
      <c r="P47" s="26"/>
    </row>
    <row r="48" spans="1:16" x14ac:dyDescent="0.2">
      <c r="I48" s="28" t="s">
        <v>35</v>
      </c>
      <c r="J48" s="70">
        <f>IF(C3=0,"###",C3/I40)</f>
        <v>1945.8128078817733</v>
      </c>
      <c r="K48" s="71"/>
      <c r="L48" s="32"/>
      <c r="M48" s="41"/>
    </row>
    <row r="50" spans="10:10" x14ac:dyDescent="0.2">
      <c r="J50" s="11"/>
    </row>
  </sheetData>
  <mergeCells count="17">
    <mergeCell ref="J48:K48"/>
    <mergeCell ref="J4:K4"/>
    <mergeCell ref="L4:M4"/>
    <mergeCell ref="J45:K45"/>
    <mergeCell ref="L45:M45"/>
    <mergeCell ref="C41:H43"/>
    <mergeCell ref="J46:K46"/>
    <mergeCell ref="J47:K47"/>
    <mergeCell ref="L46:M46"/>
    <mergeCell ref="L47:M47"/>
    <mergeCell ref="C34:C38"/>
    <mergeCell ref="A1:B1"/>
    <mergeCell ref="A2:B2"/>
    <mergeCell ref="A3:B3"/>
    <mergeCell ref="C2:D2"/>
    <mergeCell ref="C3:D3"/>
    <mergeCell ref="C1:D1"/>
  </mergeCells>
  <phoneticPr fontId="5" type="noConversion"/>
  <dataValidations count="2">
    <dataValidation type="list" allowBlank="1" showInputMessage="1" showErrorMessage="1" sqref="G7:G32" xr:uid="{7822704B-92C0-C34B-80A8-EF7AA7AF415E}">
      <formula1>"Wohnen,Gewerbe,Stellplatz,Garagenstellplatz,Sonstiges"</formula1>
    </dataValidation>
    <dataValidation type="list" allowBlank="1" showInputMessage="1" showErrorMessage="1" sqref="H7:H32" xr:uid="{C5F24F9D-00D3-6745-B241-A970D0A27DBD}">
      <formula1>"vermietet,leer"</formula1>
    </dataValidation>
  </dataValidations>
  <pageMargins left="0.7" right="0.7" top="0.78740157499999996" bottom="0.78740157499999996" header="0.3" footer="0.3"/>
  <ignoredErrors>
    <ignoredError sqref="K35" formula="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Grenz</dc:creator>
  <cp:lastModifiedBy>Sebastian  Grenz</cp:lastModifiedBy>
  <dcterms:created xsi:type="dcterms:W3CDTF">2025-03-05T12:01:03Z</dcterms:created>
  <dcterms:modified xsi:type="dcterms:W3CDTF">2026-08-03T13:35:47Z</dcterms:modified>
</cp:coreProperties>
</file>